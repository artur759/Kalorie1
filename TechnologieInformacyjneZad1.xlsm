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en_skoroszyt"/>
  <bookViews>
    <workbookView xWindow="-105" yWindow="-105" windowWidth="21840" windowHeight="13170"/>
  </bookViews>
  <sheets>
    <sheet name="Arkusz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9" i="1" l="1"/>
  <c r="L18" i="1"/>
  <c r="L17" i="1"/>
  <c r="F11" i="1" l="1"/>
  <c r="F10" i="1"/>
  <c r="F9" i="1"/>
  <c r="F8" i="1"/>
  <c r="F7" i="1"/>
  <c r="F6" i="1"/>
  <c r="F5" i="1"/>
  <c r="F4" i="1"/>
  <c r="F3" i="1"/>
  <c r="F2" i="1"/>
  <c r="D16" i="1"/>
  <c r="C16" i="1"/>
  <c r="E9" i="1"/>
  <c r="J2" i="1" l="1"/>
  <c r="F16" i="1"/>
  <c r="F17" i="1" s="1"/>
  <c r="D17" i="1"/>
  <c r="C17" i="1"/>
  <c r="J1" i="1"/>
  <c r="E6" i="1"/>
  <c r="E7" i="1"/>
  <c r="E10" i="1"/>
  <c r="E5" i="1"/>
  <c r="E4" i="1"/>
  <c r="E8" i="1"/>
  <c r="E11" i="1"/>
  <c r="E3" i="1"/>
  <c r="E2" i="1"/>
  <c r="C13" i="1" s="1"/>
  <c r="E16" i="1" l="1"/>
  <c r="G19" i="1" s="1"/>
  <c r="G2" i="1"/>
  <c r="G8" i="1"/>
  <c r="G4" i="1"/>
  <c r="G11" i="1"/>
  <c r="G7" i="1"/>
  <c r="G10" i="1"/>
  <c r="G9" i="1"/>
  <c r="G5" i="1"/>
  <c r="G6" i="1"/>
  <c r="G3" i="1"/>
  <c r="G16" i="1" l="1"/>
  <c r="G17" i="1" s="1"/>
  <c r="E17" i="1"/>
</calcChain>
</file>

<file path=xl/sharedStrings.xml><?xml version="1.0" encoding="utf-8"?>
<sst xmlns="http://schemas.openxmlformats.org/spreadsheetml/2006/main" count="27" uniqueCount="27">
  <si>
    <t>L.p</t>
  </si>
  <si>
    <t>Nazwisko i Imie</t>
  </si>
  <si>
    <t>liczba godzin</t>
  </si>
  <si>
    <t>liczba przejechanyc kilometrow</t>
  </si>
  <si>
    <t>kwota diety</t>
  </si>
  <si>
    <t>koszt przejazdu</t>
  </si>
  <si>
    <t>zwrot kosztów</t>
  </si>
  <si>
    <t>Jan Rak</t>
  </si>
  <si>
    <t>Michał Ryś</t>
  </si>
  <si>
    <t>Jakub Król</t>
  </si>
  <si>
    <t>Marcin Rak</t>
  </si>
  <si>
    <t>Jerzy Pasionek</t>
  </si>
  <si>
    <t>Maria Król</t>
  </si>
  <si>
    <t>Karolina Owsiak</t>
  </si>
  <si>
    <t>Artur Banaś</t>
  </si>
  <si>
    <t>Kszysztof Duda</t>
  </si>
  <si>
    <t>Katarzyna Mak</t>
  </si>
  <si>
    <t>Max</t>
  </si>
  <si>
    <t>Min</t>
  </si>
  <si>
    <t xml:space="preserve">Suma </t>
  </si>
  <si>
    <t>Srednia</t>
  </si>
  <si>
    <t>Największa dieta</t>
  </si>
  <si>
    <t>Stawka</t>
  </si>
  <si>
    <t xml:space="preserve"> zwrot -10000</t>
  </si>
  <si>
    <t>Sredni zwrot dla delegacji &lt;8</t>
  </si>
  <si>
    <t>Sredni zwrot dla delegacji &gt;8 i &lt;12</t>
  </si>
  <si>
    <t>Sredni zwrot dla delegacji &gt;12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</si>
</sst>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#,##0\ &quot;zł&quot;;[Red]\-#,##0\ &quot;zł&quot;"/>
  </numFmts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6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19"/>
  <sheetViews>
    <sheetView tabSelected="1" workbookViewId="0">
      <selection activeCell="L20" sqref="L20"/>
    </sheetView>
  </sheetViews>
  <sheetFormatPr defaultRowHeight="15" x14ac:dyDescent="0.25"/>
  <cols>
    <col min="2" max="2" width="15.7109375" customWidth="1"/>
    <col min="3" max="3" width="13.7109375" customWidth="1"/>
    <col min="4" max="4" width="28.42578125" customWidth="1"/>
    <col min="5" max="5" width="12.85546875" customWidth="1"/>
    <col min="6" max="6" width="15.5703125" customWidth="1"/>
    <col min="7" max="7" width="14.42578125" customWidth="1"/>
    <col min="9" max="9" width="7" customWidth="1"/>
    <col min="11" max="11" width="28.28515625" customWidth="1"/>
    <col min="12" max="12" width="9.1406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17</v>
      </c>
      <c r="J1">
        <f>MAX(F2:F11)</f>
        <v>765</v>
      </c>
    </row>
    <row r="2" spans="1:10" ht="14.45" x14ac:dyDescent="0.3">
      <c r="A2">
        <v>1</v>
      </c>
      <c r="B2" t="s">
        <v>7</v>
      </c>
      <c r="C2">
        <v>3</v>
      </c>
      <c r="D2">
        <v>80</v>
      </c>
      <c r="E2">
        <f>Dieta2(C2)</f>
        <v>0</v>
      </c>
      <c r="F2">
        <f>J4*D2</f>
        <v>68</v>
      </c>
      <c r="G2">
        <f>F2+E2</f>
        <v>68</v>
      </c>
      <c r="I2" t="s">
        <v>18</v>
      </c>
      <c r="J2">
        <f>MIN(F1:F11)</f>
        <v>68</v>
      </c>
    </row>
    <row r="3" spans="1:10" x14ac:dyDescent="0.25">
      <c r="A3">
        <v>2</v>
      </c>
      <c r="B3" t="s">
        <v>8</v>
      </c>
      <c r="C3">
        <v>5</v>
      </c>
      <c r="D3">
        <v>100</v>
      </c>
      <c r="E3">
        <f>Dieta2(C3)</f>
        <v>0</v>
      </c>
      <c r="F3">
        <f>J4*D3</f>
        <v>85</v>
      </c>
      <c r="G3">
        <f>F3+E3</f>
        <v>85</v>
      </c>
    </row>
    <row r="4" spans="1:10" x14ac:dyDescent="0.25">
      <c r="A4">
        <v>3</v>
      </c>
      <c r="B4" t="s">
        <v>9</v>
      </c>
      <c r="C4">
        <v>6</v>
      </c>
      <c r="D4">
        <v>150</v>
      </c>
      <c r="E4">
        <f>Dieta2(C4)</f>
        <v>0</v>
      </c>
      <c r="F4">
        <f>J4*D4</f>
        <v>127.5</v>
      </c>
      <c r="G4">
        <f>F4+E4</f>
        <v>127.5</v>
      </c>
      <c r="I4" t="s">
        <v>22</v>
      </c>
      <c r="J4">
        <v>0.85</v>
      </c>
    </row>
    <row r="5" spans="1:10" ht="14.45" x14ac:dyDescent="0.3">
      <c r="A5">
        <v>4</v>
      </c>
      <c r="B5" t="s">
        <v>10</v>
      </c>
      <c r="C5">
        <v>9</v>
      </c>
      <c r="D5">
        <v>180</v>
      </c>
      <c r="E5">
        <f>Dieta2(C5)</f>
        <v>11.5</v>
      </c>
      <c r="F5">
        <f>J4*D5</f>
        <v>153</v>
      </c>
      <c r="G5">
        <f>F5+E5</f>
        <v>164.5</v>
      </c>
    </row>
    <row r="6" spans="1:10" ht="14.45" x14ac:dyDescent="0.3">
      <c r="A6">
        <v>5</v>
      </c>
      <c r="B6" t="s">
        <v>11</v>
      </c>
      <c r="C6">
        <v>15</v>
      </c>
      <c r="D6">
        <v>300</v>
      </c>
      <c r="E6">
        <f>Dieta2(C6)</f>
        <v>23</v>
      </c>
      <c r="F6">
        <f>J4*D6</f>
        <v>255</v>
      </c>
      <c r="G6">
        <f>F6+E6</f>
        <v>278</v>
      </c>
    </row>
    <row r="7" spans="1:10" x14ac:dyDescent="0.25">
      <c r="A7">
        <v>6</v>
      </c>
      <c r="B7" t="s">
        <v>12</v>
      </c>
      <c r="C7">
        <v>20</v>
      </c>
      <c r="D7">
        <v>360</v>
      </c>
      <c r="E7">
        <f>Dieta2(C7)</f>
        <v>23</v>
      </c>
      <c r="F7">
        <f>J4*D7</f>
        <v>306</v>
      </c>
      <c r="G7">
        <f>F7+E7</f>
        <v>329</v>
      </c>
    </row>
    <row r="8" spans="1:10" ht="14.45" x14ac:dyDescent="0.3">
      <c r="A8">
        <v>7</v>
      </c>
      <c r="B8" t="s">
        <v>13</v>
      </c>
      <c r="C8">
        <v>35</v>
      </c>
      <c r="D8">
        <v>402</v>
      </c>
      <c r="E8">
        <f>Dieta2(C8)</f>
        <v>34.5</v>
      </c>
      <c r="F8">
        <f>J4*D8</f>
        <v>341.7</v>
      </c>
      <c r="G8">
        <f>F8+E8</f>
        <v>376.2</v>
      </c>
    </row>
    <row r="9" spans="1:10" x14ac:dyDescent="0.25">
      <c r="A9">
        <v>8</v>
      </c>
      <c r="B9" t="s">
        <v>14</v>
      </c>
      <c r="C9">
        <v>65</v>
      </c>
      <c r="D9">
        <v>750</v>
      </c>
      <c r="E9">
        <f>Dieta2(C9)</f>
        <v>69</v>
      </c>
      <c r="F9">
        <f>J4*D9</f>
        <v>637.5</v>
      </c>
      <c r="G9">
        <f>F9+E9</f>
        <v>706.5</v>
      </c>
    </row>
    <row r="10" spans="1:10" ht="14.45" x14ac:dyDescent="0.3">
      <c r="A10">
        <v>9</v>
      </c>
      <c r="B10" t="s">
        <v>15</v>
      </c>
      <c r="C10">
        <v>70</v>
      </c>
      <c r="D10">
        <v>800</v>
      </c>
      <c r="E10">
        <f>Dieta2(C10)</f>
        <v>69</v>
      </c>
      <c r="F10">
        <f>J4*D10</f>
        <v>680</v>
      </c>
      <c r="G10">
        <f>F10+E10</f>
        <v>749</v>
      </c>
    </row>
    <row r="11" spans="1:10" ht="14.45" x14ac:dyDescent="0.3">
      <c r="A11">
        <v>10</v>
      </c>
      <c r="B11" t="s">
        <v>16</v>
      </c>
      <c r="C11">
        <v>89</v>
      </c>
      <c r="D11">
        <v>900</v>
      </c>
      <c r="E11">
        <f>Dieta2(C11)</f>
        <v>92</v>
      </c>
      <c r="F11">
        <f>J4*D11</f>
        <v>765</v>
      </c>
      <c r="G11">
        <f>F11+E11</f>
        <v>857</v>
      </c>
    </row>
    <row r="13" spans="1:10" x14ac:dyDescent="0.25">
      <c r="B13" t="s">
        <v>21</v>
      </c>
      <c r="C13" t="str">
        <f>nazw(E2:E11,B2:B11)</f>
        <v>Katarzyna Mak</v>
      </c>
    </row>
    <row r="16" spans="1:10" ht="14.45" x14ac:dyDescent="0.3">
      <c r="B16" t="s">
        <v>19</v>
      </c>
      <c r="C16">
        <f>SUM(C2:C11)</f>
        <v>317</v>
      </c>
      <c r="D16">
        <f>SUM(D2:D11)</f>
        <v>4022</v>
      </c>
      <c r="E16">
        <f>SUM(E2:E11)</f>
        <v>322</v>
      </c>
      <c r="F16">
        <f>SUM(F2:F11)</f>
        <v>3418.7</v>
      </c>
      <c r="G16">
        <f>SUM(G2:G11)</f>
        <v>3740.7</v>
      </c>
    </row>
    <row r="17" spans="2:12" ht="14.45" x14ac:dyDescent="0.3">
      <c r="B17" t="s">
        <v>20</v>
      </c>
      <c r="C17">
        <f>C16/10</f>
        <v>31.7</v>
      </c>
      <c r="D17">
        <f>D16/10</f>
        <v>402.2</v>
      </c>
      <c r="E17">
        <f>E16/10</f>
        <v>32.200000000000003</v>
      </c>
      <c r="F17">
        <f>F16/10</f>
        <v>341.87</v>
      </c>
      <c r="G17">
        <f>G16/10</f>
        <v>374.07</v>
      </c>
      <c r="K17" t="s">
        <v>24</v>
      </c>
      <c r="L17">
        <f>(G2+G3+G4)/3</f>
        <v>93.5</v>
      </c>
    </row>
    <row r="18" spans="2:12" ht="14.45" x14ac:dyDescent="0.3">
      <c r="K18" t="s">
        <v>25</v>
      </c>
      <c r="L18">
        <f>G5</f>
        <v>164.5</v>
      </c>
    </row>
    <row r="19" spans="2:12" x14ac:dyDescent="0.25">
      <c r="F19" s="1" t="s">
        <v>23</v>
      </c>
      <c r="G19">
        <f>(10000-E16)/D16</f>
        <v>2.4062655395325709</v>
      </c>
      <c r="K19" t="s">
        <v>26</v>
      </c>
      <c r="L19">
        <f>(G6+G7+G8+G9+G10+G11)/6</f>
        <v>549.2833333333333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WZ AGH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305502</dc:creator>
  <cp:lastModifiedBy>Artur</cp:lastModifiedBy>
  <dcterms:created xsi:type="dcterms:W3CDTF">2019-11-16T10:40:17Z</dcterms:created>
  <dcterms:modified xsi:type="dcterms:W3CDTF">2019-12-08T10:42:33Z</dcterms:modified>
</cp:coreProperties>
</file>